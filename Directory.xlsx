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 activeTab="1"/>
  </bookViews>
  <sheets>
    <sheet name="chart" sheetId="9" r:id="rId1"/>
    <sheet name="info" sheetId="1" r:id="rId2"/>
    <sheet name="Sheet2" sheetId="2" r:id="rId3"/>
    <sheet name="Sheet3" sheetId="3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<sst xmlns="http://schemas.openxmlformats.org/spreadsheetml/2006/main" count="155" uniqueCount="98">
  <si>
    <t>ID</t>
  </si>
  <si>
    <t>Date</t>
  </si>
  <si>
    <t>Name</t>
  </si>
  <si>
    <t>Address</t>
  </si>
  <si>
    <t>Amount</t>
  </si>
  <si>
    <t>Illness/Symptoms</t>
  </si>
  <si>
    <t>Medicines/Treatment</t>
  </si>
  <si>
    <t>Contact</t>
  </si>
  <si>
    <t>(in Days)</t>
  </si>
  <si>
    <r>
      <t xml:space="preserve">(in </t>
    </r>
    <r>
      <rPr>
        <b/>
        <sz val="11"/>
        <color theme="1"/>
        <rFont val="Calibri"/>
        <family val="2"/>
      </rPr>
      <t>₹</t>
    </r>
    <r>
      <rPr>
        <b/>
        <sz val="11"/>
        <color theme="1"/>
        <rFont val="Calibri"/>
        <family val="2"/>
        <scheme val="minor"/>
      </rPr>
      <t>)</t>
    </r>
  </si>
  <si>
    <t>Anjali Patel</t>
  </si>
  <si>
    <t>Sagar Patel</t>
  </si>
  <si>
    <t>Heni Jain</t>
  </si>
  <si>
    <t>Sneh Master</t>
  </si>
  <si>
    <t>Priya Mehta</t>
  </si>
  <si>
    <t>Deep Tandlekar</t>
  </si>
  <si>
    <t>Stomach-ache</t>
  </si>
  <si>
    <t>Head-ache</t>
  </si>
  <si>
    <t>Body Weakness</t>
  </si>
  <si>
    <t>Cold</t>
  </si>
  <si>
    <t>Throat Allergy</t>
  </si>
  <si>
    <t>Pills 45, 73</t>
  </si>
  <si>
    <t>Pills 16, Drink Bottle</t>
  </si>
  <si>
    <t>Pills 14, Energy Drink</t>
  </si>
  <si>
    <t>Pills 18, Inhaler</t>
  </si>
  <si>
    <t>Pills 36, 49 &amp; Tabs 15</t>
  </si>
  <si>
    <t>Time Period</t>
  </si>
  <si>
    <t>Pills 27, 73 &amp; Tabs 11</t>
  </si>
  <si>
    <t>Adajan</t>
  </si>
  <si>
    <t>Pal</t>
  </si>
  <si>
    <t>Vesu</t>
  </si>
  <si>
    <t>Katargam</t>
  </si>
  <si>
    <t>Varachha</t>
  </si>
  <si>
    <t>Udhna</t>
  </si>
  <si>
    <t>Gender</t>
  </si>
  <si>
    <t>Age</t>
  </si>
  <si>
    <t>Female</t>
  </si>
  <si>
    <t>Male</t>
  </si>
  <si>
    <t>Time</t>
  </si>
  <si>
    <t>(in Years)</t>
  </si>
  <si>
    <t>Height</t>
  </si>
  <si>
    <t>Weight</t>
  </si>
  <si>
    <t>Blood Group</t>
  </si>
  <si>
    <t>Smoke</t>
  </si>
  <si>
    <t>Drink</t>
  </si>
  <si>
    <t>Diabetes</t>
  </si>
  <si>
    <t>Any Disability</t>
  </si>
  <si>
    <t>(in kg)</t>
  </si>
  <si>
    <t>(in ft)</t>
  </si>
  <si>
    <t>5'3</t>
  </si>
  <si>
    <t>5'6</t>
  </si>
  <si>
    <t>5'8</t>
  </si>
  <si>
    <t>4'8</t>
  </si>
  <si>
    <t>5'5</t>
  </si>
  <si>
    <t>6'2</t>
  </si>
  <si>
    <t>5'10</t>
  </si>
  <si>
    <t>B+</t>
  </si>
  <si>
    <t>O+</t>
  </si>
  <si>
    <t>NO</t>
  </si>
  <si>
    <t>YES</t>
  </si>
  <si>
    <t xml:space="preserve"> Illness/Symptoms</t>
  </si>
  <si>
    <t>(any other)</t>
  </si>
  <si>
    <t>-</t>
  </si>
  <si>
    <t>High Blood Pressure</t>
  </si>
  <si>
    <t>Skin allergy</t>
  </si>
  <si>
    <t>Profession</t>
  </si>
  <si>
    <t>Intern</t>
  </si>
  <si>
    <t>Part time work</t>
  </si>
  <si>
    <t>Masters</t>
  </si>
  <si>
    <t>Bachelors</t>
  </si>
  <si>
    <t>(number)</t>
  </si>
  <si>
    <t>Email</t>
  </si>
  <si>
    <t>Birthday</t>
  </si>
  <si>
    <t>(dd/mm/yyyy)</t>
  </si>
  <si>
    <t>Heatsrtoke</t>
  </si>
  <si>
    <t>anjpatel63@gmail.com</t>
  </si>
  <si>
    <t>jainii04@gmail.com</t>
  </si>
  <si>
    <t>sagarpatel02@gmail.com</t>
  </si>
  <si>
    <t>Maitry Sharma</t>
  </si>
  <si>
    <t>maitry510@gmail.com</t>
  </si>
  <si>
    <t>master103@gmail.com</t>
  </si>
  <si>
    <t>priya2007@gmail.com</t>
  </si>
  <si>
    <t>tandlekar17@gmail.com</t>
  </si>
  <si>
    <t>Siblings</t>
  </si>
  <si>
    <t>None</t>
  </si>
  <si>
    <t>1 younger sister</t>
  </si>
  <si>
    <t>1 younger brother</t>
  </si>
  <si>
    <t>1 elder sister</t>
  </si>
  <si>
    <t>1 elder brother</t>
  </si>
  <si>
    <t>Profession Place</t>
  </si>
  <si>
    <t>(area)</t>
  </si>
  <si>
    <t xml:space="preserve"> </t>
  </si>
  <si>
    <t>Elders, 1 brother &amp; 1 sister</t>
  </si>
  <si>
    <t>Row Labels</t>
  </si>
  <si>
    <t>Grand Total</t>
  </si>
  <si>
    <t>Column Labels</t>
  </si>
  <si>
    <t>(All)</t>
  </si>
  <si>
    <t>Count of 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</si>
</sst>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2" fillId="0" borderId="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1"/>
    <xf numFmtId="0" fontId="4" fillId="0" borderId="0" xfId="1" applyAlignment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[Directory.xlsx]chart!PivotTable7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chart!$B$14:$B$15</c:f>
              <c:strCache>
                <c:ptCount val="1"/>
                <c:pt idx="0">
                  <c:v>Body Weakness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chart!$B$16:$B$18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chart!$C$14:$C$15</c:f>
              <c:strCache>
                <c:ptCount val="1"/>
                <c:pt idx="0">
                  <c:v>Cold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chart!$C$16:$C$18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chart!$D$14:$D$15</c:f>
              <c:strCache>
                <c:ptCount val="1"/>
                <c:pt idx="0">
                  <c:v>Head-ache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chart!$D$16:$D$18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chart!$E$14:$E$15</c:f>
              <c:strCache>
                <c:ptCount val="1"/>
                <c:pt idx="0">
                  <c:v>Heatsrtoke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chart!$E$16:$E$18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chart!$F$14:$F$15</c:f>
              <c:strCache>
                <c:ptCount val="1"/>
                <c:pt idx="0">
                  <c:v>Stomach-ache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chart!$F$16:$F$18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</c:ser>
        <c:ser>
          <c:idx val="5"/>
          <c:order val="5"/>
          <c:tx>
            <c:strRef>
              <c:f>chart!$G$14:$G$15</c:f>
              <c:strCache>
                <c:ptCount val="1"/>
                <c:pt idx="0">
                  <c:v>Throat Allergy</c:v>
                </c:pt>
              </c:strCache>
            </c:strRef>
          </c:tx>
          <c:invertIfNegative val="0"/>
          <c:cat>
            <c:strRef>
              <c:f>chart!$A$16:$A$18</c:f>
              <c:strCache>
                <c:ptCount val="2"/>
                <c:pt idx="0">
                  <c:v>B+</c:v>
                </c:pt>
                <c:pt idx="1">
                  <c:v>O+</c:v>
                </c:pt>
              </c:strCache>
            </c:strRef>
          </c:cat>
          <c:val>
            <c:numRef>
              <c:f>chart!$G$16:$G$18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343808"/>
        <c:axId val="148349696"/>
      </c:barChart>
      <c:catAx>
        <c:axId val="148343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349696"/>
        <c:crosses val="autoZero"/>
        <c:auto val="1"/>
        <c:lblAlgn val="ctr"/>
        <c:lblOffset val="100"/>
        <c:noMultiLvlLbl val="0"/>
      </c:catAx>
      <c:valAx>
        <c:axId val="14834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343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23</xdr:row>
      <xdr:rowOff>28575</xdr:rowOff>
    </xdr:from>
    <xdr:to>
      <xdr:col>8</xdr:col>
      <xdr:colOff>742949</xdr:colOff>
      <xdr:row>39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708.634713657404" createdVersion="4" refreshedVersion="4" minRefreshableVersion="3" recordCount="9">
  <cacheSource type="worksheet">
    <worksheetSource ref="B4:Y13" sheet="info"/>
  </cacheSource>
  <cacheFields count="24">
    <cacheField name="Date" numFmtId="14">
      <sharedItems containsNonDate="0" containsDate="1" containsString="0" containsBlank="1" minDate="2024-07-07T00:00:00" maxDate="2025-02-17T00:00:00"/>
    </cacheField>
    <cacheField name="ID" numFmtId="0">
      <sharedItems containsString="0" containsBlank="1" containsNumber="1" containsInteger="1" minValue="1" maxValue="7"/>
    </cacheField>
    <cacheField name="Name" numFmtId="0">
      <sharedItems containsBlank="1" count="8">
        <m/>
        <s v="Anjali Patel"/>
        <s v="Heni Jain"/>
        <s v="Sagar Patel"/>
        <s v="Maitry Sharma"/>
        <s v="Sneh Master"/>
        <s v="Priya Mehta"/>
        <s v="Deep Tandlekar"/>
      </sharedItems>
    </cacheField>
    <cacheField name="Gender" numFmtId="0">
      <sharedItems containsBlank="1"/>
    </cacheField>
    <cacheField name="Age" numFmtId="0">
      <sharedItems containsBlank="1" containsMixedTypes="1" containsNumber="1" containsInteger="1" minValue="18" maxValue="23"/>
    </cacheField>
    <cacheField name="Illness/Symptoms" numFmtId="0">
      <sharedItems containsBlank="1" count="7">
        <m/>
        <s v="Heatsrtoke"/>
        <s v="Stomach-ache"/>
        <s v="Head-ache"/>
        <s v="Body Weakness"/>
        <s v="Cold"/>
        <s v="Throat Allergy"/>
      </sharedItems>
    </cacheField>
    <cacheField name="Medicines/Treatment" numFmtId="0">
      <sharedItems containsBlank="1"/>
    </cacheField>
    <cacheField name="Amount" numFmtId="0">
      <sharedItems containsBlank="1" containsMixedTypes="1" containsNumber="1" containsInteger="1" minValue="120" maxValue="200"/>
    </cacheField>
    <cacheField name="Time Period" numFmtId="0">
      <sharedItems containsBlank="1" containsMixedTypes="1" containsNumber="1" containsInteger="1" minValue="1" maxValue="3"/>
    </cacheField>
    <cacheField name="Address" numFmtId="0">
      <sharedItems containsBlank="1"/>
    </cacheField>
    <cacheField name="Contact" numFmtId="0">
      <sharedItems containsBlank="1" containsMixedTypes="1" containsNumber="1" containsInteger="1" minValue="7648412354" maxValue="9864121354"/>
    </cacheField>
    <cacheField name="Time" numFmtId="0">
      <sharedItems containsNonDate="0" containsDate="1" containsString="0" containsBlank="1" minDate="1899-12-30T09:22:00" maxDate="1899-12-30T19:36:00"/>
    </cacheField>
    <cacheField name="Birthday" numFmtId="0">
      <sharedItems containsDate="1" containsBlank="1" containsMixedTypes="1" minDate="2002-03-17T00:00:00" maxDate="2007-11-05T00:00:00"/>
    </cacheField>
    <cacheField name="Height" numFmtId="0">
      <sharedItems containsBlank="1"/>
    </cacheField>
    <cacheField name="Weight" numFmtId="0">
      <sharedItems containsBlank="1" containsMixedTypes="1" containsNumber="1" containsInteger="1" minValue="48" maxValue="72"/>
    </cacheField>
    <cacheField name="Blood Group" numFmtId="0">
      <sharedItems containsBlank="1" count="3">
        <m/>
        <s v="B+"/>
        <s v="O+"/>
      </sharedItems>
    </cacheField>
    <cacheField name="Smoke" numFmtId="0">
      <sharedItems containsBlank="1"/>
    </cacheField>
    <cacheField name="Drink" numFmtId="0">
      <sharedItems containsBlank="1"/>
    </cacheField>
    <cacheField name=" Illness/Symptoms" numFmtId="0">
      <sharedItems containsBlank="1"/>
    </cacheField>
    <cacheField name="Any Disability" numFmtId="0">
      <sharedItems containsBlank="1"/>
    </cacheField>
    <cacheField name="Profession" numFmtId="0">
      <sharedItems containsBlank="1"/>
    </cacheField>
    <cacheField name="Profession Place" numFmtId="0">
      <sharedItems containsBlank="1"/>
    </cacheField>
    <cacheField name="Email" numFmtId="0">
      <sharedItems containsBlank="1"/>
    </cacheField>
    <cacheField name="Siblin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m/>
    <m/>
    <x v="0"/>
    <m/>
    <s v="(in Years)"/>
    <x v="0"/>
    <m/>
    <s v="(in ₹)"/>
    <s v="(in Days)"/>
    <s v="(area)"/>
    <s v="(number)"/>
    <m/>
    <s v="(dd/mm/yyyy)"/>
    <s v="(in ft)"/>
    <s v="(in kg)"/>
    <x v="0"/>
    <m/>
    <m/>
    <s v="(any other)"/>
    <m/>
    <m/>
    <s v="(area)"/>
    <m/>
    <m/>
  </r>
  <r>
    <m/>
    <m/>
    <x v="0"/>
    <m/>
    <m/>
    <x v="0"/>
    <m/>
    <m/>
    <m/>
    <m/>
    <m/>
    <m/>
    <m/>
    <m/>
    <m/>
    <x v="0"/>
    <m/>
    <m/>
    <m/>
    <m/>
    <m/>
    <m/>
    <m/>
    <m/>
  </r>
  <r>
    <d v="2024-07-07T00:00:00"/>
    <n v="1"/>
    <x v="1"/>
    <s v="Female"/>
    <n v="21"/>
    <x v="1"/>
    <s v="Pills 16, Drink Bottle"/>
    <n v="120"/>
    <n v="2"/>
    <s v="Adajan"/>
    <n v="9864121354"/>
    <d v="1899-12-30T12:16:00"/>
    <d v="2003-06-18T00:00:00"/>
    <s v="5'3"/>
    <n v="54"/>
    <x v="1"/>
    <s v="YES"/>
    <s v="YES"/>
    <s v="-"/>
    <s v="NO"/>
    <s v="Intern"/>
    <s v="Vesu"/>
    <s v="anjpatel63@gmail.com"/>
    <s v="1 younger brother"/>
  </r>
  <r>
    <d v="2024-08-18T00:00:00"/>
    <n v="2"/>
    <x v="2"/>
    <s v="Female"/>
    <n v="19"/>
    <x v="2"/>
    <s v="Pills 27, 73 &amp; Tabs 11"/>
    <n v="180"/>
    <n v="1"/>
    <s v="Vesu"/>
    <n v="8754963215"/>
    <d v="1899-12-30T11:34:00"/>
    <d v="2005-04-20T00:00:00"/>
    <s v="5'6"/>
    <n v="48"/>
    <x v="2"/>
    <s v="NO"/>
    <s v="YES"/>
    <s v="Diabetes"/>
    <s v="NO"/>
    <s v="Bachelors"/>
    <s v="Varachha"/>
    <s v="jainii04@gmail.com"/>
    <s v="1 elder sister"/>
  </r>
  <r>
    <d v="2024-09-10T00:00:00"/>
    <n v="3"/>
    <x v="3"/>
    <s v="Male"/>
    <n v="20"/>
    <x v="3"/>
    <s v="Pills 45, 73"/>
    <n v="150"/>
    <n v="2"/>
    <s v="Pal"/>
    <n v="7894513654"/>
    <d v="1899-12-30T13:08:00"/>
    <d v="2004-09-02T00:00:00"/>
    <s v="5'8"/>
    <n v="64"/>
    <x v="2"/>
    <s v="NO"/>
    <s v="NO"/>
    <s v="-"/>
    <s v="NO"/>
    <s v="Part time work"/>
    <s v="Adajan"/>
    <s v="sagarpatel02@gmail.com"/>
    <s v="None"/>
  </r>
  <r>
    <d v="2024-10-15T00:00:00"/>
    <n v="4"/>
    <x v="4"/>
    <s v="Female"/>
    <n v="23"/>
    <x v="4"/>
    <s v="Pills 14, Energy Drink"/>
    <n v="130"/>
    <n v="1"/>
    <s v="Katargam"/>
    <n v="8954321259"/>
    <d v="1899-12-30T10:55:00"/>
    <d v="2002-10-05T00:00:00"/>
    <s v="4'8"/>
    <n v="58"/>
    <x v="1"/>
    <s v="YES"/>
    <s v="YES"/>
    <s v="High Blood Pressure"/>
    <s v="NO"/>
    <s v="Masters"/>
    <s v="Adajan"/>
    <s v="maitry510@gmail.com"/>
    <s v="1 elder brother"/>
  </r>
  <r>
    <d v="2024-12-27T00:00:00"/>
    <n v="5"/>
    <x v="5"/>
    <s v="Male"/>
    <n v="20"/>
    <x v="3"/>
    <s v="Pills 45, 73"/>
    <n v="150"/>
    <n v="2"/>
    <s v="Varachha"/>
    <n v="9462135785"/>
    <d v="1899-12-30T16:42:00"/>
    <d v="2003-01-08T00:00:00"/>
    <s v="5'10"/>
    <n v="72"/>
    <x v="1"/>
    <s v="NO"/>
    <s v="YES"/>
    <s v="Diabetes"/>
    <s v="NO"/>
    <s v="Part time work"/>
    <s v="Varachha"/>
    <s v="master103@gmail.com"/>
    <s v="Elders, 1 brother &amp; 1 sister"/>
  </r>
  <r>
    <d v="2025-01-10T00:00:00"/>
    <n v="6"/>
    <x v="6"/>
    <s v="Female"/>
    <n v="18"/>
    <x v="5"/>
    <s v="Pills 18, Inhaler"/>
    <n v="140"/>
    <n v="1"/>
    <s v="Udhna"/>
    <n v="7648412354"/>
    <d v="1899-12-30T09:22:00"/>
    <d v="2007-11-04T00:00:00"/>
    <s v="5'5"/>
    <n v="62"/>
    <x v="2"/>
    <s v="NO"/>
    <s v="NO"/>
    <s v="-"/>
    <s v="NO"/>
    <s v="Bachelors"/>
    <s v="Vesu"/>
    <s v="priya2007@gmail.com"/>
    <s v="1 younger sister"/>
  </r>
  <r>
    <d v="2025-02-16T00:00:00"/>
    <n v="7"/>
    <x v="7"/>
    <s v="Male"/>
    <n v="22"/>
    <x v="6"/>
    <s v="Pills 36, 49 &amp; Tabs 15"/>
    <n v="200"/>
    <n v="3"/>
    <s v="Pal"/>
    <n v="8165132948"/>
    <d v="1899-12-30T19:36:00"/>
    <d v="2002-03-17T00:00:00"/>
    <s v="6'2"/>
    <n v="68"/>
    <x v="1"/>
    <s v="YES"/>
    <s v="YES"/>
    <s v="Skin allergy"/>
    <s v="NO"/>
    <s v="Intern"/>
    <s v="Adajan"/>
    <s v="tandlekar17@gmail.com"/>
    <s v="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4:H18" firstHeaderRow="1" firstDataRow="2" firstDataCol="1" rowPageCount="1" colPageCount="1"/>
  <pivotFields count="24">
    <pivotField showAll="0"/>
    <pivotField showAll="0"/>
    <pivotField axis="axisPage" showAll="0">
      <items count="9">
        <item x="1"/>
        <item x="7"/>
        <item x="2"/>
        <item x="4"/>
        <item x="6"/>
        <item x="3"/>
        <item x="5"/>
        <item x="0"/>
        <item t="default"/>
      </items>
    </pivotField>
    <pivotField showAll="0"/>
    <pivotField showAll="0"/>
    <pivotField axis="axisCol" showAll="0">
      <items count="8">
        <item x="4"/>
        <item x="5"/>
        <item x="3"/>
        <item x="1"/>
        <item x="2"/>
        <item x="6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Count of Time Period" fld="8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garpatel02@gmail.com" TargetMode="External"/><Relationship Id="rId7" Type="http://schemas.openxmlformats.org/officeDocument/2006/relationships/hyperlink" Target="mailto:tandlekar17@gmail.com" TargetMode="External"/><Relationship Id="rId2" Type="http://schemas.openxmlformats.org/officeDocument/2006/relationships/hyperlink" Target="mailto:jainii04@gmail.com" TargetMode="External"/><Relationship Id="rId1" Type="http://schemas.openxmlformats.org/officeDocument/2006/relationships/hyperlink" Target="mailto:anjpatel63@gmail.com" TargetMode="External"/><Relationship Id="rId6" Type="http://schemas.openxmlformats.org/officeDocument/2006/relationships/hyperlink" Target="mailto:priya2007@gmail.com" TargetMode="External"/><Relationship Id="rId5" Type="http://schemas.openxmlformats.org/officeDocument/2006/relationships/hyperlink" Target="mailto:master103@gmail.com" TargetMode="External"/><Relationship Id="rId4" Type="http://schemas.openxmlformats.org/officeDocument/2006/relationships/hyperlink" Target="mailto:maitry5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H18"/>
  <sheetViews>
    <sheetView topLeftCell="A10" workbookViewId="0">
      <selection activeCell="L18" sqref="L18"/>
    </sheetView>
  </sheetViews>
  <sheetFormatPr defaultRowHeight="15" x14ac:dyDescent="0.25"/>
  <cols>
    <col min="1" max="1" width="20" customWidth="1"/>
    <col min="2" max="2" width="16.28515625" customWidth="1"/>
    <col min="3" max="3" width="5" customWidth="1"/>
    <col min="4" max="4" width="10.42578125" customWidth="1"/>
    <col min="5" max="5" width="10.7109375" customWidth="1"/>
    <col min="6" max="7" width="13.5703125" bestFit="1" customWidth="1"/>
    <col min="8" max="8" width="11.28515625" customWidth="1"/>
    <col min="9" max="9" width="11.28515625" bestFit="1" customWidth="1"/>
  </cols>
  <sheetData>
    <row r="12" spans="1:8" x14ac:dyDescent="0.25">
      <c r="A12" s="18" t="s">
        <v>2</v>
      </c>
      <c r="B12" t="s">
        <v>96</v>
      </c>
    </row>
    <row r="14" spans="1:8" x14ac:dyDescent="0.25">
      <c r="A14" s="18" t="s">
        <v>97</v>
      </c>
      <c r="B14" s="18" t="s">
        <v>95</v>
      </c>
    </row>
    <row r="15" spans="1:8" x14ac:dyDescent="0.25">
      <c r="A15" s="18" t="s">
        <v>93</v>
      </c>
      <c r="B15" t="s">
        <v>18</v>
      </c>
      <c r="C15" t="s">
        <v>19</v>
      </c>
      <c r="D15" t="s">
        <v>17</v>
      </c>
      <c r="E15" t="s">
        <v>74</v>
      </c>
      <c r="F15" t="s">
        <v>16</v>
      </c>
      <c r="G15" t="s">
        <v>20</v>
      </c>
      <c r="H15" t="s">
        <v>94</v>
      </c>
    </row>
    <row r="16" spans="1:8" x14ac:dyDescent="0.25">
      <c r="A16" s="19" t="s">
        <v>56</v>
      </c>
      <c r="B16" s="9">
        <v>1</v>
      </c>
      <c r="C16" s="9"/>
      <c r="D16" s="9">
        <v>1</v>
      </c>
      <c r="E16" s="9">
        <v>1</v>
      </c>
      <c r="F16" s="9"/>
      <c r="G16" s="9">
        <v>1</v>
      </c>
      <c r="H16" s="9">
        <v>4</v>
      </c>
    </row>
    <row r="17" spans="1:8" x14ac:dyDescent="0.25">
      <c r="A17" s="19" t="s">
        <v>57</v>
      </c>
      <c r="B17" s="9"/>
      <c r="C17" s="9">
        <v>1</v>
      </c>
      <c r="D17" s="9">
        <v>1</v>
      </c>
      <c r="E17" s="9"/>
      <c r="F17" s="9">
        <v>1</v>
      </c>
      <c r="G17" s="9"/>
      <c r="H17" s="9">
        <v>3</v>
      </c>
    </row>
    <row r="18" spans="1:8" x14ac:dyDescent="0.25">
      <c r="A18" s="19" t="s">
        <v>94</v>
      </c>
      <c r="B18" s="9">
        <v>1</v>
      </c>
      <c r="C18" s="9">
        <v>1</v>
      </c>
      <c r="D18" s="9">
        <v>2</v>
      </c>
      <c r="E18" s="9">
        <v>1</v>
      </c>
      <c r="F18" s="9">
        <v>1</v>
      </c>
      <c r="G18" s="9">
        <v>1</v>
      </c>
      <c r="H18" s="9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42"/>
  <sheetViews>
    <sheetView tabSelected="1" zoomScale="80" zoomScaleNormal="80" workbookViewId="0">
      <selection activeCell="J24" sqref="J24"/>
    </sheetView>
  </sheetViews>
  <sheetFormatPr defaultRowHeight="15" x14ac:dyDescent="0.25"/>
  <cols>
    <col min="1" max="1" width="5.140625" customWidth="1"/>
    <col min="2" max="2" width="11.42578125" style="4" customWidth="1"/>
    <col min="3" max="3" width="7.140625" customWidth="1"/>
    <col min="4" max="4" width="20" customWidth="1"/>
    <col min="5" max="5" width="16.7109375" customWidth="1"/>
    <col min="6" max="6" width="5" customWidth="1"/>
    <col min="7" max="7" width="10.7109375" customWidth="1"/>
    <col min="8" max="8" width="11" customWidth="1"/>
    <col min="9" max="10" width="13.7109375" customWidth="1"/>
    <col min="11" max="11" width="7.42578125" customWidth="1"/>
    <col min="12" max="12" width="11.5703125" customWidth="1"/>
    <col min="13" max="13" width="9.140625" style="9" customWidth="1"/>
    <col min="14" max="14" width="12.42578125" style="9" customWidth="1"/>
    <col min="15" max="15" width="11.5703125" customWidth="1"/>
    <col min="16" max="16" width="14" bestFit="1" customWidth="1"/>
    <col min="17" max="17" width="17.42578125" customWidth="1"/>
    <col min="19" max="19" width="12.42578125" bestFit="1" customWidth="1"/>
    <col min="20" max="20" width="11.5703125" customWidth="1"/>
    <col min="21" max="21" width="15.7109375" customWidth="1"/>
    <col min="22" max="22" width="17.140625" customWidth="1"/>
    <col min="23" max="23" width="18.5703125" customWidth="1"/>
    <col min="24" max="24" width="25.7109375" customWidth="1"/>
    <col min="25" max="25" width="27.140625" customWidth="1"/>
    <col min="26" max="26" width="18.5703125" customWidth="1"/>
  </cols>
  <sheetData>
    <row r="4" spans="2:26" ht="15.75" x14ac:dyDescent="0.25">
      <c r="B4" s="5" t="s">
        <v>1</v>
      </c>
      <c r="C4" s="1" t="s">
        <v>0</v>
      </c>
      <c r="D4" s="1" t="s">
        <v>2</v>
      </c>
      <c r="E4" s="1" t="s">
        <v>34</v>
      </c>
      <c r="F4" s="1" t="s">
        <v>35</v>
      </c>
      <c r="G4" s="1" t="s">
        <v>5</v>
      </c>
      <c r="H4" s="1" t="s">
        <v>6</v>
      </c>
      <c r="I4" s="1" t="s">
        <v>4</v>
      </c>
      <c r="J4" s="1" t="s">
        <v>26</v>
      </c>
      <c r="K4" s="1" t="s">
        <v>3</v>
      </c>
      <c r="L4" s="1" t="s">
        <v>7</v>
      </c>
      <c r="M4" s="7" t="s">
        <v>38</v>
      </c>
      <c r="N4" s="7" t="s">
        <v>72</v>
      </c>
      <c r="O4" s="7" t="s">
        <v>40</v>
      </c>
      <c r="P4" s="7" t="s">
        <v>41</v>
      </c>
      <c r="Q4" s="7" t="s">
        <v>42</v>
      </c>
      <c r="R4" s="7" t="s">
        <v>43</v>
      </c>
      <c r="S4" s="7" t="s">
        <v>44</v>
      </c>
      <c r="T4" s="7" t="s">
        <v>60</v>
      </c>
      <c r="U4" s="7" t="s">
        <v>46</v>
      </c>
      <c r="V4" s="7" t="s">
        <v>65</v>
      </c>
      <c r="W4" s="7" t="s">
        <v>89</v>
      </c>
      <c r="X4" s="7" t="s">
        <v>71</v>
      </c>
      <c r="Y4" s="7" t="s">
        <v>83</v>
      </c>
      <c r="Z4" s="17"/>
    </row>
    <row r="5" spans="2:26" x14ac:dyDescent="0.25">
      <c r="B5" s="6"/>
      <c r="C5" s="2"/>
      <c r="D5" s="2"/>
      <c r="E5" s="2"/>
      <c r="F5" s="3" t="s">
        <v>39</v>
      </c>
      <c r="G5" s="2"/>
      <c r="H5" s="2"/>
      <c r="I5" s="3" t="s">
        <v>9</v>
      </c>
      <c r="J5" s="3" t="s">
        <v>8</v>
      </c>
      <c r="K5" s="3" t="s">
        <v>90</v>
      </c>
      <c r="L5" s="3" t="s">
        <v>70</v>
      </c>
      <c r="M5" s="8"/>
      <c r="N5" s="13" t="s">
        <v>73</v>
      </c>
      <c r="O5" s="3" t="s">
        <v>48</v>
      </c>
      <c r="P5" s="3" t="s">
        <v>47</v>
      </c>
      <c r="Q5" s="2"/>
      <c r="R5" s="2"/>
      <c r="S5" s="2"/>
      <c r="T5" s="3" t="s">
        <v>61</v>
      </c>
      <c r="U5" s="2"/>
      <c r="V5" s="2"/>
      <c r="W5" s="3" t="s">
        <v>90</v>
      </c>
      <c r="X5" s="2"/>
      <c r="Y5" s="3"/>
      <c r="Z5" s="17"/>
    </row>
    <row r="7" spans="2:26" x14ac:dyDescent="0.25">
      <c r="B7" s="4">
        <v>45480</v>
      </c>
      <c r="C7">
        <v>1</v>
      </c>
      <c r="D7" t="s">
        <v>10</v>
      </c>
      <c r="E7" t="s">
        <v>36</v>
      </c>
      <c r="F7">
        <v>21</v>
      </c>
      <c r="G7" t="s">
        <v>74</v>
      </c>
      <c r="H7" t="s">
        <v>22</v>
      </c>
      <c r="I7">
        <v>120</v>
      </c>
      <c r="J7">
        <v>2</v>
      </c>
      <c r="K7" t="s">
        <v>28</v>
      </c>
      <c r="L7">
        <v>9864121354</v>
      </c>
      <c r="M7" s="10">
        <v>0.51111111111111118</v>
      </c>
      <c r="N7" s="4">
        <v>37790</v>
      </c>
      <c r="O7" s="14" t="s">
        <v>49</v>
      </c>
      <c r="P7" s="14">
        <v>54</v>
      </c>
      <c r="Q7" s="11" t="s">
        <v>56</v>
      </c>
      <c r="R7" s="14" t="s">
        <v>59</v>
      </c>
      <c r="S7" s="14" t="s">
        <v>59</v>
      </c>
      <c r="T7" s="11" t="s">
        <v>62</v>
      </c>
      <c r="U7" s="14" t="s">
        <v>58</v>
      </c>
      <c r="V7" t="s">
        <v>66</v>
      </c>
      <c r="W7" t="s">
        <v>30</v>
      </c>
      <c r="X7" s="15" t="s">
        <v>75</v>
      </c>
      <c r="Y7" s="14" t="s">
        <v>86</v>
      </c>
    </row>
    <row r="8" spans="2:26" x14ac:dyDescent="0.25">
      <c r="B8" s="4">
        <v>45522</v>
      </c>
      <c r="C8">
        <v>2</v>
      </c>
      <c r="D8" t="s">
        <v>12</v>
      </c>
      <c r="E8" t="s">
        <v>36</v>
      </c>
      <c r="F8">
        <v>19</v>
      </c>
      <c r="G8" t="s">
        <v>16</v>
      </c>
      <c r="H8" t="s">
        <v>27</v>
      </c>
      <c r="I8">
        <v>180</v>
      </c>
      <c r="J8">
        <v>1</v>
      </c>
      <c r="K8" t="s">
        <v>30</v>
      </c>
      <c r="L8">
        <v>8754963215</v>
      </c>
      <c r="M8" s="10">
        <v>0.48194444444444445</v>
      </c>
      <c r="N8" s="4">
        <v>38462</v>
      </c>
      <c r="O8" s="14" t="s">
        <v>50</v>
      </c>
      <c r="P8" s="14">
        <v>48</v>
      </c>
      <c r="Q8" s="11" t="s">
        <v>57</v>
      </c>
      <c r="R8" s="14" t="s">
        <v>58</v>
      </c>
      <c r="S8" s="14" t="s">
        <v>59</v>
      </c>
      <c r="T8" t="s">
        <v>45</v>
      </c>
      <c r="U8" s="14" t="s">
        <v>58</v>
      </c>
      <c r="V8" t="s">
        <v>69</v>
      </c>
      <c r="W8" t="s">
        <v>32</v>
      </c>
      <c r="X8" s="15" t="s">
        <v>76</v>
      </c>
      <c r="Y8" s="14" t="s">
        <v>87</v>
      </c>
    </row>
    <row r="9" spans="2:26" x14ac:dyDescent="0.25">
      <c r="B9" s="4">
        <v>45545</v>
      </c>
      <c r="C9">
        <v>3</v>
      </c>
      <c r="D9" t="s">
        <v>11</v>
      </c>
      <c r="E9" t="s">
        <v>37</v>
      </c>
      <c r="F9">
        <v>20</v>
      </c>
      <c r="G9" t="s">
        <v>17</v>
      </c>
      <c r="H9" t="s">
        <v>21</v>
      </c>
      <c r="I9">
        <v>150</v>
      </c>
      <c r="J9">
        <v>2</v>
      </c>
      <c r="K9" t="s">
        <v>29</v>
      </c>
      <c r="L9">
        <v>7894513654</v>
      </c>
      <c r="M9" s="10">
        <v>0.54722222222222217</v>
      </c>
      <c r="N9" s="4">
        <v>38232</v>
      </c>
      <c r="O9" s="14" t="s">
        <v>51</v>
      </c>
      <c r="P9" s="14">
        <v>64</v>
      </c>
      <c r="Q9" s="11" t="s">
        <v>57</v>
      </c>
      <c r="R9" s="14" t="s">
        <v>58</v>
      </c>
      <c r="S9" s="14" t="s">
        <v>58</v>
      </c>
      <c r="T9" s="11" t="s">
        <v>62</v>
      </c>
      <c r="U9" s="14" t="s">
        <v>58</v>
      </c>
      <c r="V9" t="s">
        <v>67</v>
      </c>
      <c r="W9" t="s">
        <v>28</v>
      </c>
      <c r="X9" s="15" t="s">
        <v>77</v>
      </c>
      <c r="Y9" s="14" t="s">
        <v>84</v>
      </c>
    </row>
    <row r="10" spans="2:26" x14ac:dyDescent="0.25">
      <c r="B10" s="4">
        <v>45580</v>
      </c>
      <c r="C10">
        <v>4</v>
      </c>
      <c r="D10" t="s">
        <v>78</v>
      </c>
      <c r="E10" t="s">
        <v>36</v>
      </c>
      <c r="F10">
        <v>23</v>
      </c>
      <c r="G10" t="s">
        <v>18</v>
      </c>
      <c r="H10" t="s">
        <v>23</v>
      </c>
      <c r="I10">
        <v>130</v>
      </c>
      <c r="J10">
        <v>1</v>
      </c>
      <c r="K10" t="s">
        <v>31</v>
      </c>
      <c r="L10">
        <v>8954321259</v>
      </c>
      <c r="M10" s="10">
        <v>0.4548611111111111</v>
      </c>
      <c r="N10" s="4">
        <v>37534</v>
      </c>
      <c r="O10" s="14" t="s">
        <v>52</v>
      </c>
      <c r="P10" s="14">
        <v>58</v>
      </c>
      <c r="Q10" s="11" t="s">
        <v>56</v>
      </c>
      <c r="R10" s="14" t="s">
        <v>59</v>
      </c>
      <c r="S10" s="14" t="s">
        <v>59</v>
      </c>
      <c r="T10" s="12" t="s">
        <v>63</v>
      </c>
      <c r="U10" s="14" t="s">
        <v>58</v>
      </c>
      <c r="V10" s="12" t="s">
        <v>68</v>
      </c>
      <c r="W10" s="12" t="s">
        <v>28</v>
      </c>
      <c r="X10" s="16" t="s">
        <v>79</v>
      </c>
      <c r="Y10" s="14" t="s">
        <v>88</v>
      </c>
    </row>
    <row r="11" spans="2:26" x14ac:dyDescent="0.25">
      <c r="B11" s="4">
        <v>45653</v>
      </c>
      <c r="C11">
        <v>5</v>
      </c>
      <c r="D11" t="s">
        <v>13</v>
      </c>
      <c r="E11" t="s">
        <v>37</v>
      </c>
      <c r="F11">
        <v>20</v>
      </c>
      <c r="G11" t="s">
        <v>17</v>
      </c>
      <c r="H11" t="s">
        <v>21</v>
      </c>
      <c r="I11">
        <v>150</v>
      </c>
      <c r="J11">
        <v>2</v>
      </c>
      <c r="K11" t="s">
        <v>32</v>
      </c>
      <c r="L11">
        <v>9462135785</v>
      </c>
      <c r="M11" s="10">
        <v>0.6958333333333333</v>
      </c>
      <c r="N11" s="4">
        <v>37629</v>
      </c>
      <c r="O11" s="14" t="s">
        <v>55</v>
      </c>
      <c r="P11" s="14">
        <v>72</v>
      </c>
      <c r="Q11" s="11" t="s">
        <v>56</v>
      </c>
      <c r="R11" s="14" t="s">
        <v>58</v>
      </c>
      <c r="S11" s="14" t="s">
        <v>59</v>
      </c>
      <c r="T11" t="s">
        <v>45</v>
      </c>
      <c r="U11" s="14" t="s">
        <v>58</v>
      </c>
      <c r="V11" s="12" t="s">
        <v>67</v>
      </c>
      <c r="W11" s="12" t="s">
        <v>32</v>
      </c>
      <c r="X11" s="16" t="s">
        <v>80</v>
      </c>
      <c r="Y11" s="14" t="s">
        <v>92</v>
      </c>
    </row>
    <row r="12" spans="2:26" x14ac:dyDescent="0.25">
      <c r="B12" s="4">
        <v>45667</v>
      </c>
      <c r="C12">
        <v>6</v>
      </c>
      <c r="D12" t="s">
        <v>14</v>
      </c>
      <c r="E12" t="s">
        <v>36</v>
      </c>
      <c r="F12">
        <v>18</v>
      </c>
      <c r="G12" t="s">
        <v>19</v>
      </c>
      <c r="H12" t="s">
        <v>24</v>
      </c>
      <c r="I12">
        <v>140</v>
      </c>
      <c r="J12">
        <v>1</v>
      </c>
      <c r="K12" t="s">
        <v>33</v>
      </c>
      <c r="L12">
        <v>7648412354</v>
      </c>
      <c r="M12" s="10">
        <v>0.39027777777777778</v>
      </c>
      <c r="N12" s="4">
        <v>39390</v>
      </c>
      <c r="O12" s="14" t="s">
        <v>53</v>
      </c>
      <c r="P12" s="14">
        <v>62</v>
      </c>
      <c r="Q12" s="11" t="s">
        <v>57</v>
      </c>
      <c r="R12" s="14" t="s">
        <v>58</v>
      </c>
      <c r="S12" s="14" t="s">
        <v>58</v>
      </c>
      <c r="T12" s="11" t="s">
        <v>62</v>
      </c>
      <c r="U12" s="14" t="s">
        <v>58</v>
      </c>
      <c r="V12" s="12" t="s">
        <v>69</v>
      </c>
      <c r="W12" s="12" t="s">
        <v>30</v>
      </c>
      <c r="X12" s="15" t="s">
        <v>81</v>
      </c>
      <c r="Y12" s="14" t="s">
        <v>85</v>
      </c>
    </row>
    <row r="13" spans="2:26" x14ac:dyDescent="0.25">
      <c r="B13" s="4">
        <v>45704</v>
      </c>
      <c r="C13">
        <v>7</v>
      </c>
      <c r="D13" t="s">
        <v>15</v>
      </c>
      <c r="E13" t="s">
        <v>37</v>
      </c>
      <c r="F13">
        <v>22</v>
      </c>
      <c r="G13" t="s">
        <v>20</v>
      </c>
      <c r="H13" t="s">
        <v>25</v>
      </c>
      <c r="I13">
        <v>200</v>
      </c>
      <c r="J13">
        <v>3</v>
      </c>
      <c r="K13" t="s">
        <v>29</v>
      </c>
      <c r="L13">
        <v>8165132948</v>
      </c>
      <c r="M13" s="10">
        <v>0.81666666666666676</v>
      </c>
      <c r="N13" s="4">
        <v>37332</v>
      </c>
      <c r="O13" s="14" t="s">
        <v>54</v>
      </c>
      <c r="P13" s="14">
        <v>68</v>
      </c>
      <c r="Q13" s="11" t="s">
        <v>56</v>
      </c>
      <c r="R13" s="14" t="s">
        <v>59</v>
      </c>
      <c r="S13" s="14" t="s">
        <v>59</v>
      </c>
      <c r="T13" t="s">
        <v>64</v>
      </c>
      <c r="U13" s="14" t="s">
        <v>58</v>
      </c>
      <c r="V13" s="12" t="s">
        <v>66</v>
      </c>
      <c r="W13" s="12" t="s">
        <v>28</v>
      </c>
      <c r="X13" s="16" t="s">
        <v>82</v>
      </c>
      <c r="Y13" s="14" t="s">
        <v>84</v>
      </c>
    </row>
    <row r="17" spans="13:25" x14ac:dyDescent="0.25">
      <c r="Y17" t="s">
        <v>91</v>
      </c>
    </row>
    <row r="27" spans="13:25" x14ac:dyDescent="0.25">
      <c r="M27"/>
      <c r="N27"/>
    </row>
    <row r="28" spans="13:25" x14ac:dyDescent="0.25">
      <c r="M28"/>
      <c r="N28"/>
    </row>
    <row r="29" spans="13:25" x14ac:dyDescent="0.25">
      <c r="M29"/>
      <c r="N29"/>
    </row>
    <row r="30" spans="13:25" x14ac:dyDescent="0.25">
      <c r="M30"/>
      <c r="N30"/>
    </row>
    <row r="31" spans="13:25" x14ac:dyDescent="0.25">
      <c r="M31"/>
      <c r="N31"/>
    </row>
    <row r="32" spans="13:25" x14ac:dyDescent="0.25">
      <c r="M32"/>
      <c r="N32"/>
    </row>
    <row r="33" spans="4:14" x14ac:dyDescent="0.25">
      <c r="M33"/>
      <c r="N33"/>
    </row>
    <row r="34" spans="4:14" x14ac:dyDescent="0.25">
      <c r="M34"/>
      <c r="N34"/>
    </row>
    <row r="35" spans="4:14" x14ac:dyDescent="0.25">
      <c r="M35"/>
      <c r="N35"/>
    </row>
    <row r="36" spans="4:14" x14ac:dyDescent="0.25">
      <c r="M36"/>
      <c r="N36"/>
    </row>
    <row r="37" spans="4:14" x14ac:dyDescent="0.25">
      <c r="M37"/>
      <c r="N37"/>
    </row>
    <row r="39" spans="4:14" x14ac:dyDescent="0.25">
      <c r="D39" s="19"/>
      <c r="E39" s="9"/>
      <c r="F39" s="9"/>
      <c r="G39" s="9"/>
      <c r="H39" s="9"/>
      <c r="I39" s="9"/>
      <c r="J39" s="9"/>
      <c r="K39" s="9"/>
      <c r="L39" s="9"/>
    </row>
    <row r="40" spans="4:14" x14ac:dyDescent="0.25">
      <c r="D40" s="19"/>
      <c r="E40" s="9"/>
      <c r="F40" s="9"/>
      <c r="G40" s="9"/>
      <c r="H40" s="9"/>
      <c r="I40" s="9"/>
      <c r="J40" s="9"/>
      <c r="K40" s="9"/>
      <c r="L40" s="9"/>
    </row>
    <row r="41" spans="4:14" x14ac:dyDescent="0.25">
      <c r="D41" s="19"/>
      <c r="E41" s="9"/>
      <c r="F41" s="9"/>
      <c r="G41" s="9"/>
      <c r="H41" s="9"/>
      <c r="I41" s="9"/>
      <c r="J41" s="9"/>
      <c r="K41" s="9"/>
      <c r="L41" s="9"/>
    </row>
    <row r="42" spans="4:14" x14ac:dyDescent="0.25">
      <c r="D42" s="19"/>
      <c r="E42" s="9"/>
      <c r="F42" s="9"/>
      <c r="G42" s="9"/>
      <c r="H42" s="9"/>
      <c r="I42" s="9"/>
      <c r="J42" s="9"/>
      <c r="K42" s="9"/>
      <c r="L42" s="9"/>
    </row>
  </sheetData>
  <sortState ref="B9:B13">
    <sortCondition ref="B7:B11"/>
  </sortState>
  <hyperlinks>
    <hyperlink ref="X7" r:id="rId1"/>
    <hyperlink ref="X8" r:id="rId2"/>
    <hyperlink ref="X9" r:id="rId3"/>
    <hyperlink ref="X10" r:id="rId4"/>
    <hyperlink ref="X11" r:id="rId5"/>
    <hyperlink ref="X12" r:id="rId6"/>
    <hyperlink ref="X13" r:id="rId7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info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2025-02-18T08:32:49Z</dcterms:created>
  <dcterms:modified xsi:type="dcterms:W3CDTF">2025-02-21T08:32:53Z</dcterms:modified>
</cp:coreProperties>
</file>